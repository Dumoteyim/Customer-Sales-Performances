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 PC\Desktop\"/>
    </mc:Choice>
  </mc:AlternateContent>
  <xr:revisionPtr revIDLastSave="0" documentId="8_{77C3F735-D3BE-48D1-9970-CCB8162EBB69}" xr6:coauthVersionLast="47" xr6:coauthVersionMax="47" xr10:uidLastSave="{00000000-0000-0000-0000-000000000000}"/>
  <bookViews>
    <workbookView xWindow="-120" yWindow="-120" windowWidth="20730" windowHeight="11040" xr2:uid="{37AF51E7-392B-45A6-8842-9561DD47D9EB}"/>
  </bookViews>
  <sheets>
    <sheet name="Analysis" sheetId="1" r:id="rId1"/>
  </sheets>
  <externalReferences>
    <externalReference r:id="rId2"/>
  </externalReferences>
  <definedNames>
    <definedName name="_xlcn.WorksheetConnection_5.AnalyzingDataDashboardcreation.xlsxCustomers" hidden="1">[1]!Customers[#Data]</definedName>
    <definedName name="Slicer_OrderYear">#N/A</definedName>
    <definedName name="Slicer_Season">#N/A</definedName>
  </definedNames>
  <calcPr calcId="191029"/>
  <pivotCaches>
    <pivotCache cacheId="16" r:id="rId3"/>
    <pivotCache cacheId="18" r:id="rId4"/>
    <pivotCache cacheId="20" r:id="rId5"/>
    <pivotCache cacheId="22" r:id="rId6"/>
    <pivotCache cacheId="24" r:id="rId7"/>
    <pivotCache cacheId="26" r:id="rId8"/>
    <pivotCache cacheId="28" r:id="rId9"/>
    <pivotCache cacheId="30" r:id="rId10"/>
    <pivotCache cacheId="32" r:id="rId11"/>
    <pivotCache cacheId="34" r:id="rId12"/>
    <pivotCache cacheId="36" r:id="rId13"/>
    <pivotCache cacheId="38" r:id="rId14"/>
    <pivotCache cacheId="40" r:id="rId15"/>
    <pivotCache cacheId="42" r:id="rId16"/>
  </pivotCaches>
  <extLst>
    <ext xmlns:x14="http://schemas.microsoft.com/office/spreadsheetml/2009/9/main" uri="{876F7934-8845-4945-9796-88D515C7AA90}">
      <x14:pivotCaches>
        <pivotCache cacheId="14"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816a7f15-eefe-4f61-bd3f-cf8fe7a7bc34" name="Customers" connection="WorksheetConnection_5. Analyzing Data &amp; Dashboard creation.xlsx!Customers"/>
        </x15:modelTables>
      </x15:dataModel>
    </ext>
  </extLst>
</workbook>
</file>

<file path=xl/calcChain.xml><?xml version="1.0" encoding="utf-8"?>
<calcChain xmlns="http://schemas.openxmlformats.org/spreadsheetml/2006/main">
  <c r="B64" i="1" l="1"/>
  <c r="A64" i="1"/>
  <c r="B63" i="1"/>
  <c r="A63" i="1"/>
  <c r="B62" i="1"/>
  <c r="A62" i="1"/>
  <c r="B61" i="1"/>
  <c r="A61" i="1"/>
  <c r="B60" i="1"/>
  <c r="A60" i="1"/>
  <c r="B59" i="1"/>
  <c r="A59" i="1"/>
  <c r="B58" i="1"/>
  <c r="A58" i="1"/>
  <c r="B57" i="1"/>
  <c r="A57" i="1"/>
  <c r="B56" i="1"/>
  <c r="A56" i="1"/>
  <c r="B55" i="1"/>
  <c r="A55" i="1"/>
  <c r="B54" i="1"/>
  <c r="A54" i="1"/>
  <c r="B53" i="1"/>
  <c r="A53" i="1"/>
  <c r="G9" i="1"/>
  <c r="B5" i="1"/>
  <c r="H5" i="1"/>
  <c r="D5" i="1"/>
  <c r="F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05747A-F778-4C32-B891-E17D3B0CCF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84827B9-3D73-42D0-BD5F-215997737B89}" name="WorksheetConnection_5. Analyzing Data &amp; Dashboard creation.xlsx!Customers" type="102" refreshedVersion="8" minRefreshableVersion="5">
    <extLst>
      <ext xmlns:x15="http://schemas.microsoft.com/office/spreadsheetml/2010/11/main" uri="{DE250136-89BD-433C-8126-D09CA5730AF9}">
        <x15:connection id="Customers-816a7f15-eefe-4f61-bd3f-cf8fe7a7bc34" autoDelete="1">
          <x15:rangePr sourceName="_xlcn.WorksheetConnection_5.AnalyzingDataDashboardcreation.xlsxCustomers"/>
        </x15:connection>
      </ext>
    </extLst>
  </connection>
</connections>
</file>

<file path=xl/sharedStrings.xml><?xml version="1.0" encoding="utf-8"?>
<sst xmlns="http://schemas.openxmlformats.org/spreadsheetml/2006/main" count="116" uniqueCount="92">
  <si>
    <t>KEY PERFORMANCE INDICATORS</t>
  </si>
  <si>
    <t>Total Customers</t>
  </si>
  <si>
    <t>Total Revenue</t>
  </si>
  <si>
    <t>Total Products</t>
  </si>
  <si>
    <t>Total Countries</t>
  </si>
  <si>
    <t>Total Rows</t>
  </si>
  <si>
    <t xml:space="preserve"> Revenue</t>
  </si>
  <si>
    <t>DATA ANALYSIS</t>
  </si>
  <si>
    <t>Customer Purchase  Trend</t>
  </si>
  <si>
    <t>Go to Dashoard</t>
  </si>
  <si>
    <t>Customer Segregation</t>
  </si>
  <si>
    <t>Product per time</t>
  </si>
  <si>
    <t>Revenue</t>
  </si>
  <si>
    <t>Dashboard</t>
  </si>
  <si>
    <t>Report</t>
  </si>
  <si>
    <t>Regions</t>
  </si>
  <si>
    <t>CUSTOMER REVENUE BY MONTHS</t>
  </si>
  <si>
    <t>TOP 10 CUSTOMERS BY ITEM PURCHASED</t>
  </si>
  <si>
    <t>TOP 10 PRODUCTS PURCHASED</t>
  </si>
  <si>
    <t>Row Labels</t>
  </si>
  <si>
    <t>Sum of Revenue</t>
  </si>
  <si>
    <t>January</t>
  </si>
  <si>
    <t>Christy Rai</t>
  </si>
  <si>
    <t>Blouse</t>
  </si>
  <si>
    <t>February</t>
  </si>
  <si>
    <t>Christy Raje</t>
  </si>
  <si>
    <t>Coat</t>
  </si>
  <si>
    <t>March</t>
  </si>
  <si>
    <t>Christy Raji</t>
  </si>
  <si>
    <t>Dress</t>
  </si>
  <si>
    <t>April</t>
  </si>
  <si>
    <t>Colleen Sharma</t>
  </si>
  <si>
    <t>Gloves</t>
  </si>
  <si>
    <t>May</t>
  </si>
  <si>
    <t>Elizabeth Bradley</t>
  </si>
  <si>
    <t>Hat</t>
  </si>
  <si>
    <t>June</t>
  </si>
  <si>
    <t>Jasmine Hall</t>
  </si>
  <si>
    <t>Jacket</t>
  </si>
  <si>
    <t>July</t>
  </si>
  <si>
    <t>Jenny Xu</t>
  </si>
  <si>
    <t>Jewelry</t>
  </si>
  <si>
    <t>August</t>
  </si>
  <si>
    <t>Jenny Yang</t>
  </si>
  <si>
    <t>Pants</t>
  </si>
  <si>
    <t>September</t>
  </si>
  <si>
    <t>Madison White</t>
  </si>
  <si>
    <t>Skirt</t>
  </si>
  <si>
    <t>October</t>
  </si>
  <si>
    <t>Sabrina Blanco</t>
  </si>
  <si>
    <t>Sweater</t>
  </si>
  <si>
    <t>November</t>
  </si>
  <si>
    <t>Grand Total</t>
  </si>
  <si>
    <t>December</t>
  </si>
  <si>
    <t>CUSTOMER GENDER ANALYSIS</t>
  </si>
  <si>
    <t>CUSTOMER AGE GROUP</t>
  </si>
  <si>
    <t>PRODUCT CATEGORY REVENUE</t>
  </si>
  <si>
    <t>Count of Full Gender</t>
  </si>
  <si>
    <t>Count of Age Group</t>
  </si>
  <si>
    <t>FEMALE</t>
  </si>
  <si>
    <t>Adult</t>
  </si>
  <si>
    <t>Accessories</t>
  </si>
  <si>
    <t>MALE</t>
  </si>
  <si>
    <t>Elderly</t>
  </si>
  <si>
    <t>Clothing</t>
  </si>
  <si>
    <t>Seniors</t>
  </si>
  <si>
    <t>Footwear</t>
  </si>
  <si>
    <t>Outerwear</t>
  </si>
  <si>
    <t>COUNTRY REVENUE</t>
  </si>
  <si>
    <t>PAYMENT METHOD ANALYSIS</t>
  </si>
  <si>
    <t>SEASON ANALYSIS</t>
  </si>
  <si>
    <t>Percentage of Revenue</t>
  </si>
  <si>
    <t>Australia</t>
  </si>
  <si>
    <t>Bank Transfer</t>
  </si>
  <si>
    <t>Fall</t>
  </si>
  <si>
    <t>Canada</t>
  </si>
  <si>
    <t>Cash</t>
  </si>
  <si>
    <t>Spring</t>
  </si>
  <si>
    <t>Central</t>
  </si>
  <si>
    <t>Credit Card</t>
  </si>
  <si>
    <t>Summer</t>
  </si>
  <si>
    <t>France</t>
  </si>
  <si>
    <t>Debit Card</t>
  </si>
  <si>
    <t>Winter</t>
  </si>
  <si>
    <t>Germany</t>
  </si>
  <si>
    <t>PayPal</t>
  </si>
  <si>
    <t>Northeast</t>
  </si>
  <si>
    <t>Venmo</t>
  </si>
  <si>
    <t>Northwest</t>
  </si>
  <si>
    <t>Southeast</t>
  </si>
  <si>
    <t>Southwest</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</si>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</sst>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F400]h:mm:ss\ AM/PM"/>
    <numFmt numFmtId="166" formatCode="dd/mm/yyyy\ hh:mm\ AM/PM"/>
  </numFmts>
  <fonts count="4"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3" fillId="0" borderId="0" xfId="0" applyFont="1"/>
    <xf numFmtId="0" fontId="1" fillId="0" borderId="0" xfId="0" applyFont="1"/>
    <xf numFmtId="164" fontId="0" fillId="0" borderId="0" xfId="0" applyNumberFormat="1"/>
    <xf numFmtId="3" fontId="0" fillId="0" borderId="0" xfId="0" applyNumberFormat="1"/>
    <xf numFmtId="164" fontId="2" fillId="0" borderId="0" xfId="1" applyNumberFormat="1"/>
    <xf numFmtId="165" fontId="0" fillId="0" borderId="0" xfId="0" applyNumberFormat="1"/>
    <xf numFmtId="166" fontId="0" fillId="0" borderId="0" xfId="0" applyNumberFormat="1"/>
    <xf numFmtId="0" fontId="2" fillId="0" borderId="0" xfId="1"/>
    <xf numFmtId="0" fontId="0" fillId="0" borderId="0" xfId="0" applyAlignment="1">
      <alignment horizontal="left"/>
    </xf>
    <xf numFmtId="0" fontId="1" fillId="0" borderId="0" xfId="0" applyFont="1" applyAlignment="1">
      <alignment horizontal="left"/>
    </xf>
    <xf numFmtId="1" fontId="0" fillId="0" borderId="0" xfId="0" applyNumberFormat="1"/>
    <xf numFmtId="10" fontId="0" fillId="0" borderId="0" xfId="0" applyNumberFormat="1"/>
    <xf numFmtId="0" fontId="0" fillId="0" borderId="0" xfId="0" pivotButton="1"/>
  </cellXfs>
  <cellStyles count="2">
    <cellStyle name="Hyperlink" xfId="1" builtinId="8"/>
    <cellStyle name="Normal" xfId="0" builtinId="0"/>
  </cellStyles>
  <dxfs count="23">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4" formatCode="0.00%"/>
    </dxf>
    <dxf>
      <numFmt numFmtId="164" formatCode="&quot;£&quot;#,##0"/>
    </dxf>
    <dxf>
      <numFmt numFmtId="164" formatCode="&quot;£&quot;#,##0"/>
    </dxf>
    <dxf>
      <numFmt numFmtId="3" formatCode="#,##0"/>
    </dxf>
    <dxf>
      <numFmt numFmtId="164" formatCode="&quot;£&quot;#,##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3" formatCode="#,##0"/>
    </dxf>
    <dxf>
      <fill>
        <patternFill patternType="solid">
          <bgColor theme="2"/>
        </patternFill>
      </fill>
    </dxf>
  </dxfs>
  <tableStyles count="1" defaultTableStyle="TableStyleMedium2" defaultPivotStyle="PivotStyleLight16">
    <tableStyle name="Slicer Style 1" pivot="0" table="0" count="1" xr9:uid="{553BBAAA-9B06-4169-97E5-4F5BD6B0DD03}">
      <tableStyleElement type="wholeTable" dxfId="2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3" Type="http://schemas.openxmlformats.org/officeDocument/2006/relationships/pivotCacheDefinition" Target="pivotCache/pivotCacheDefinition1.xml"/><Relationship Id="rId21" Type="http://schemas.openxmlformats.org/officeDocument/2006/relationships/connections" Target="connections.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pivotCacheDefinition" Target="pivotCache/pivotCacheDefinition1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sharedStrings" Target="sharedStrings.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1038224</xdr:colOff>
      <xdr:row>34</xdr:row>
      <xdr:rowOff>161925</xdr:rowOff>
    </xdr:from>
    <xdr:to>
      <xdr:col>7</xdr:col>
      <xdr:colOff>904874</xdr:colOff>
      <xdr:row>38</xdr:row>
      <xdr:rowOff>0</xdr:rowOff>
    </xdr:to>
    <mc:AlternateContent xmlns:mc="http://schemas.openxmlformats.org/markup-compatibility/2006">
      <mc:Choice xmlns:a14="http://schemas.microsoft.com/office/drawing/2010/main" Requires="a14">
        <xdr:graphicFrame macro="">
          <xdr:nvGraphicFramePr>
            <xdr:cNvPr id="2" name="OrderYear">
              <a:extLst>
                <a:ext uri="{FF2B5EF4-FFF2-40B4-BE49-F238E27FC236}">
                  <a16:creationId xmlns:a16="http://schemas.microsoft.com/office/drawing/2014/main" id="{44896195-E6F4-44A3-BAE1-D9E75F15170B}"/>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dr:sp macro="" textlink="">
          <xdr:nvSpPr>
            <xdr:cNvPr id="0" name=""/>
            <xdr:cNvSpPr>
              <a:spLocks noTextEdit="1"/>
            </xdr:cNvSpPr>
          </xdr:nvSpPr>
          <xdr:spPr>
            <a:xfrm>
              <a:off x="5610224" y="6648450"/>
              <a:ext cx="2371725" cy="600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142874</xdr:colOff>
      <xdr:row>37</xdr:row>
      <xdr:rowOff>142875</xdr:rowOff>
    </xdr:from>
    <xdr:to>
      <xdr:col>14</xdr:col>
      <xdr:colOff>152400</xdr:colOff>
      <xdr:row>44</xdr:row>
      <xdr:rowOff>161925</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7287610C-BFF0-452A-A551-05BEBB9270C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2020549" y="7200900"/>
              <a:ext cx="857251" cy="1352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20PC\Desktop\Dashboard%20Creation.xlsx" TargetMode="External"/><Relationship Id="rId1" Type="http://schemas.openxmlformats.org/officeDocument/2006/relationships/externalLinkPath" Target="Dashboard%20Cre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sheetName val="Dashboard"/>
      <sheetName val="Sheet2"/>
      <sheetName val="Sales Dashboard"/>
      <sheetName val="Sales Dashboard (2)"/>
      <sheetName val="Sales Dashboard (3)"/>
      <sheetName val="RAW DATA"/>
      <sheetName val="Dataset"/>
      <sheetName val="Data Analysis Stages"/>
    </sheetNames>
    <sheetDataSet>
      <sheetData sheetId="0"/>
      <sheetData sheetId="1"/>
      <sheetData sheetId="2"/>
      <sheetData sheetId="3"/>
      <sheetData sheetId="4"/>
      <sheetData sheetId="5"/>
      <sheetData sheetId="6"/>
      <sheetData sheetId="7"/>
      <sheetData sheetId="8"/>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2476855" backgroundQuery="1" createdVersion="8" refreshedVersion="8" minRefreshableVersion="3" recordCount="0" supportSubquery="1" supportAdvancedDrill="1" xr:uid="{024FBEAF-F966-45E4-8E59-135DEE9F6B71}">
  <cacheSource type="external" connectionId="1"/>
  <cacheFields count="2">
    <cacheField name="[Measures].[Count of Customer ID]" caption="Count of Customer ID" numFmtId="0" hierarchy="23"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0" memberValueDatatype="130" unbalanced="0"/>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1"/>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0" memberValueDatatype="130" unbalanced="0"/>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hidden="1">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6874997" backgroundQuery="1" createdVersion="8" refreshedVersion="8" minRefreshableVersion="3" recordCount="0" supportSubquery="1" supportAdvancedDrill="1" xr:uid="{95943B7D-9DD7-446F-A65F-C2F9ED7155D0}">
  <cacheSource type="external" connectionId="1"/>
  <cacheFields count="2">
    <cacheField name="[Measures].[Distinct Count of Country]" caption="Distinct Count of Country" numFmtId="0" hierarchy="28"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0" memberValueDatatype="130" unbalanced="0"/>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1"/>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0" memberValueDatatype="130" unbalanced="0"/>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hidden="1">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50694446" backgroundQuery="1" createdVersion="8" refreshedVersion="8" minRefreshableVersion="3" recordCount="0" supportSubquery="1" supportAdvancedDrill="1" xr:uid="{FBF551E6-33AF-40F4-85F1-C74E0FDE2A6D}">
  <cacheSource type="external" connectionId="1"/>
  <cacheFields count="6">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CustomerName].[CustomerName]" caption="CustomerName" numFmtId="0" hierarchy="18" level="1">
      <sharedItems count="10">
        <s v="Christy Rai"/>
        <s v="Christy Raje"/>
        <s v="Christy Raji"/>
        <s v="Colleen Sharma"/>
        <s v="Elizabeth Bradley"/>
        <s v="Jasmine Hall"/>
        <s v="Jenny Xu"/>
        <s v="Jenny Yang"/>
        <s v="Madison White"/>
        <s v="Sabrina Blanco"/>
      </sharedItems>
    </cacheField>
    <cacheField name="[Customers].[Item Purchased].[Item Purchased]" caption="Item Purchased" numFmtId="0" hierarchy="6" level="1">
      <sharedItems count="10">
        <s v="Blouse"/>
        <s v="Coat"/>
        <s v="Dress"/>
        <s v="Gloves"/>
        <s v="Hat"/>
        <s v="Jacket"/>
        <s v="Jewelry"/>
        <s v="Pants"/>
        <s v="Skirt"/>
        <s v="Sweater"/>
      </sharedItems>
    </cacheField>
    <cacheField name="[Customers].[Full Gender].[Full Gender]" caption="Full Gender" numFmtId="0" hierarchy="2" level="1">
      <sharedItems count="2">
        <s v="FEMALE"/>
        <s v="MALE"/>
      </sharedItems>
    </cacheField>
    <cacheField name="[Measures].[Count of Full Gender]" caption="Count of Full Gender" numFmtId="0" hierarchy="30"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2" memberValueDatatype="130" unbalanced="0">
      <fieldsUsage count="2">
        <fieldUsage x="-1"/>
        <fieldUsage x="3"/>
      </fieldsUsage>
    </cacheHierarchy>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2" memberValueDatatype="130" unbalanced="0">
      <fieldsUsage count="2">
        <fieldUsage x="-1"/>
        <fieldUsage x="2"/>
      </fieldsUsage>
    </cacheHierarchy>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5"/>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0"/>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hidden="1">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oneField="1" hidden="1">
      <fieldsUsage count="1">
        <fieldUsage x="4"/>
      </fieldsUsage>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5717596" backgroundQuery="1" createdVersion="8" refreshedVersion="8" minRefreshableVersion="3" recordCount="0" supportSubquery="1" supportAdvancedDrill="1" xr:uid="{DF2A76C3-EBE6-4E19-A20A-4801CBEF207A}">
  <cacheSource type="external" connectionId="1"/>
  <cacheFields count="2">
    <cacheField name="[Measures].[Count of Customer ID]" caption="Count of Customer ID" numFmtId="0" hierarchy="23"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0" memberValueDatatype="130" unbalanced="0"/>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1"/>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0" memberValueDatatype="130" unbalanced="0"/>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hidden="1">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8842591" backgroundQuery="1" createdVersion="8" refreshedVersion="8" minRefreshableVersion="3" recordCount="0" supportSubquery="1" supportAdvancedDrill="1" xr:uid="{5A2FA91F-34ED-4B13-9D6C-36954ECC1445}">
  <cacheSource type="external" connectionId="1"/>
  <cacheFields count="4">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CustomerName].[CustomerName]" caption="CustomerName" numFmtId="0" hierarchy="18" level="1">
      <sharedItems count="10">
        <s v="Christy Rai"/>
        <s v="Christy Raje"/>
        <s v="Christy Raji"/>
        <s v="Colleen Sharma"/>
        <s v="Elizabeth Bradley"/>
        <s v="Jasmine Hall"/>
        <s v="Jenny Xu"/>
        <s v="Jenny Yang"/>
        <s v="Madison White"/>
        <s v="Sabrina Blanco"/>
      </sharedItems>
    </cacheField>
    <cacheField name="[Measures].[Sum of Revenue]" caption="Sum of Revenue" numFmtId="0" hierarchy="24"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0" memberValueDatatype="130" unbalanced="0"/>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3"/>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0"/>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5254627" backgroundQuery="1" createdVersion="8" refreshedVersion="8" minRefreshableVersion="3" recordCount="0" supportSubquery="1" supportAdvancedDrill="1" xr:uid="{44654080-9668-4833-8CF6-957F45EFA81A}">
  <cacheSource type="external" connectionId="1"/>
  <cacheFields count="6">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CustomerName].[CustomerName]" caption="CustomerName" numFmtId="0" hierarchy="18" level="1">
      <sharedItems count="10">
        <s v="Christy Rai"/>
        <s v="Christy Raje"/>
        <s v="Christy Raji"/>
        <s v="Colleen Sharma"/>
        <s v="Elizabeth Bradley"/>
        <s v="Jasmine Hall"/>
        <s v="Jenny Xu"/>
        <s v="Jenny Yang"/>
        <s v="Madison White"/>
        <s v="Sabrina Blanco"/>
      </sharedItems>
    </cacheField>
    <cacheField name="[Customers].[Item Purchased].[Item Purchased]" caption="Item Purchased" numFmtId="0" hierarchy="6" level="1">
      <sharedItems count="10">
        <s v="Blouse"/>
        <s v="Coat"/>
        <s v="Dress"/>
        <s v="Gloves"/>
        <s v="Hat"/>
        <s v="Jacket"/>
        <s v="Jewelry"/>
        <s v="Pants"/>
        <s v="Skirt"/>
        <s v="Sweater"/>
      </sharedItems>
    </cacheField>
    <cacheField name="[Customers].[Season].[Season]" caption="Season" numFmtId="0" hierarchy="9" level="1">
      <sharedItems count="4">
        <s v="Fall"/>
        <s v="Spring"/>
        <s v="Summer"/>
        <s v="Winter"/>
      </sharedItems>
    </cacheField>
    <cacheField name="[Measures].[Sum of Revenue]" caption="Sum of Revenue" numFmtId="0" hierarchy="24"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2" memberValueDatatype="130" unbalanced="0">
      <fieldsUsage count="2">
        <fieldUsage x="-1"/>
        <fieldUsage x="2"/>
      </fieldsUsage>
    </cacheHierarchy>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2" memberValueDatatype="130" unbalanced="0">
      <fieldsUsage count="2">
        <fieldUsage x="-1"/>
        <fieldUsage x="3"/>
      </fieldsUsage>
    </cacheHierarchy>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5"/>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0"/>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5949073" backgroundQuery="1" createdVersion="8" refreshedVersion="8" minRefreshableVersion="3" recordCount="0" supportSubquery="1" supportAdvancedDrill="1" xr:uid="{02A24FD9-7029-4B01-8721-A36AFD6D9CDB}">
  <cacheSource type="external" connectionId="1"/>
  <cacheFields count="2">
    <cacheField name="[Measures].[Sum of Revenue]" caption="Sum of Revenue" numFmtId="0" hierarchy="24"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0" memberValueDatatype="130" unbalanced="0"/>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1"/>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0" memberValueDatatype="130" unbalanced="0"/>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9768522" backgroundQuery="1" createdVersion="8" refreshedVersion="8" minRefreshableVersion="3" recordCount="0" supportSubquery="1" supportAdvancedDrill="1" xr:uid="{A49838B9-E9B6-4A83-926B-3D2594219239}">
  <cacheSource type="external" connectionId="1"/>
  <cacheFields count="5">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CustomerName].[CustomerName]" caption="CustomerName" numFmtId="0" hierarchy="18" level="1">
      <sharedItems count="10">
        <s v="Christy Rai"/>
        <s v="Christy Raje"/>
        <s v="Christy Raji"/>
        <s v="Colleen Sharma"/>
        <s v="Elizabeth Bradley"/>
        <s v="Jasmine Hall"/>
        <s v="Jenny Xu"/>
        <s v="Jenny Yang"/>
        <s v="Madison White"/>
        <s v="Sabrina Blanco"/>
      </sharedItems>
    </cacheField>
    <cacheField name="[Customers].[Item Purchased].[Item Purchased]" caption="Item Purchased" numFmtId="0" hierarchy="6" level="1">
      <sharedItems count="10">
        <s v="Blouse"/>
        <s v="Coat"/>
        <s v="Dress"/>
        <s v="Gloves"/>
        <s v="Hat"/>
        <s v="Jacket"/>
        <s v="Jewelry"/>
        <s v="Pants"/>
        <s v="Skirt"/>
        <s v="Sweater"/>
      </sharedItems>
    </cacheField>
    <cacheField name="[Measures].[Sum of Revenue]" caption="Sum of Revenue" numFmtId="0" hierarchy="24"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2" memberValueDatatype="130" unbalanced="0">
      <fieldsUsage count="2">
        <fieldUsage x="-1"/>
        <fieldUsage x="2"/>
      </fieldsUsage>
    </cacheHierarchy>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4"/>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0"/>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2824071" backgroundQuery="1" createdVersion="8" refreshedVersion="8" minRefreshableVersion="3" recordCount="0" supportSubquery="1" supportAdvancedDrill="1" xr:uid="{0795E9BA-6134-4CEA-83BC-3102000CB5E6}">
  <cacheSource type="external" connectionId="1"/>
  <cacheFields count="6">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CustomerName].[CustomerName]" caption="CustomerName" numFmtId="0" hierarchy="18" level="1">
      <sharedItems count="10">
        <s v="Christy Rai"/>
        <s v="Christy Raje"/>
        <s v="Christy Raji"/>
        <s v="Colleen Sharma"/>
        <s v="Elizabeth Bradley"/>
        <s v="Jasmine Hall"/>
        <s v="Jenny Xu"/>
        <s v="Jenny Yang"/>
        <s v="Madison White"/>
        <s v="Sabrina Blanco"/>
      </sharedItems>
    </cacheField>
    <cacheField name="[Customers].[Item Purchased].[Item Purchased]" caption="Item Purchased" numFmtId="0" hierarchy="6" level="1">
      <sharedItems count="10">
        <s v="Blouse"/>
        <s v="Coat"/>
        <s v="Dress"/>
        <s v="Gloves"/>
        <s v="Hat"/>
        <s v="Jacket"/>
        <s v="Jewelry"/>
        <s v="Pants"/>
        <s v="Skirt"/>
        <s v="Sweater"/>
      </sharedItems>
    </cacheField>
    <cacheField name="[Customers].[Age Group].[Age Group]" caption="Age Group" numFmtId="0" hierarchy="19" level="1">
      <sharedItems count="3">
        <s v="Adult"/>
        <s v="Elderly"/>
        <s v="Seniors"/>
      </sharedItems>
    </cacheField>
    <cacheField name="[Measures].[Count of Age Group]" caption="Count of Age Group" numFmtId="0" hierarchy="31"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2" memberValueDatatype="130" unbalanced="0">
      <fieldsUsage count="2">
        <fieldUsage x="-1"/>
        <fieldUsage x="2"/>
      </fieldsUsage>
    </cacheHierarchy>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5"/>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0"/>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Age Group]" caption="Age Group" attribute="1" defaultMemberUniqueName="[Customers].[Age Group].[All]" allUniqueName="[Customers].[Age Group].[All]" dimensionUniqueName="[Customers]" displayFolder="" count="2" memberValueDatatype="130" unbalanced="0">
      <fieldsUsage count="2">
        <fieldUsage x="-1"/>
        <fieldUsage x="3"/>
      </fieldsUsage>
    </cacheHierarchy>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hidden="1">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oneField="1" hidden="1">
      <fieldsUsage count="1">
        <fieldUsage x="4"/>
      </fieldsUsage>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6527781" backgroundQuery="1" createdVersion="8" refreshedVersion="8" minRefreshableVersion="3" recordCount="0" supportSubquery="1" supportAdvancedDrill="1" xr:uid="{2095C54A-0C0C-44D6-8F5A-E94CF3C162A3}">
  <cacheSource type="external" connectionId="1"/>
  <cacheFields count="2">
    <cacheField name="[Measures].[Distinct Count of Item Purchased]" caption="Distinct Count of Item Purchased" numFmtId="0" hierarchy="26"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0" memberValueDatatype="130" unbalanced="0"/>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1"/>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0" memberValueDatatype="130" unbalanced="0"/>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hidden="1">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4560188" backgroundQuery="1" createdVersion="8" refreshedVersion="8" minRefreshableVersion="3" recordCount="0" supportSubquery="1" supportAdvancedDrill="1" xr:uid="{1F5AE8DD-880B-4C22-973D-5C7F838896FB}">
  <cacheSource type="external" connectionId="1"/>
  <cacheFields count="6">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CustomerName].[CustomerName]" caption="CustomerName" numFmtId="0" hierarchy="18" level="1">
      <sharedItems count="10">
        <s v="Christy Rai"/>
        <s v="Christy Raje"/>
        <s v="Christy Raji"/>
        <s v="Colleen Sharma"/>
        <s v="Elizabeth Bradley"/>
        <s v="Jasmine Hall"/>
        <s v="Jenny Xu"/>
        <s v="Jenny Yang"/>
        <s v="Madison White"/>
        <s v="Sabrina Blanco"/>
      </sharedItems>
    </cacheField>
    <cacheField name="[Customers].[Item Purchased].[Item Purchased]" caption="Item Purchased" numFmtId="0" hierarchy="6" level="1">
      <sharedItems count="10">
        <s v="Blouse"/>
        <s v="Coat"/>
        <s v="Dress"/>
        <s v="Gloves"/>
        <s v="Hat"/>
        <s v="Jacket"/>
        <s v="Jewelry"/>
        <s v="Pants"/>
        <s v="Skirt"/>
        <s v="Sweater"/>
      </sharedItems>
    </cacheField>
    <cacheField name="[Customers].[Country].[Country]" caption="Country" numFmtId="0" hierarchy="8" level="1">
      <sharedItems count="10">
        <s v="Australia"/>
        <s v="Canada"/>
        <s v="Central"/>
        <s v="France"/>
        <s v="Germany"/>
        <s v="Northeast"/>
        <s v="Northwest"/>
        <s v="Southeast"/>
        <s v="Southwest"/>
        <s v="United Kingdom"/>
      </sharedItems>
    </cacheField>
    <cacheField name="[Measures].[Sum of Revenue]" caption="Sum of Revenue" numFmtId="0" hierarchy="24"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2" memberValueDatatype="130" unbalanced="0">
      <fieldsUsage count="2">
        <fieldUsage x="-1"/>
        <fieldUsage x="2"/>
      </fieldsUsage>
    </cacheHierarchy>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3"/>
      </fieldsUsage>
    </cacheHierarchy>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5"/>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0"/>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1550924" backgroundQuery="1" createdVersion="8" refreshedVersion="8" minRefreshableVersion="3" recordCount="0" supportSubquery="1" supportAdvancedDrill="1" xr:uid="{8CFFE57E-A82C-4BF9-B7BA-7A4231466967}">
  <cacheSource type="external" connectionId="1"/>
  <cacheFields count="6">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CustomerName].[CustomerName]" caption="CustomerName" numFmtId="0" hierarchy="18" level="1">
      <sharedItems count="10">
        <s v="Christy Rai"/>
        <s v="Christy Raje"/>
        <s v="Christy Raji"/>
        <s v="Colleen Sharma"/>
        <s v="Elizabeth Bradley"/>
        <s v="Jasmine Hall"/>
        <s v="Jenny Xu"/>
        <s v="Jenny Yang"/>
        <s v="Madison White"/>
        <s v="Sabrina Blanco"/>
      </sharedItems>
    </cacheField>
    <cacheField name="[Customers].[Item Purchased].[Item Purchased]" caption="Item Purchased" numFmtId="0" hierarchy="6" level="1">
      <sharedItems count="10">
        <s v="Blouse"/>
        <s v="Coat"/>
        <s v="Dress"/>
        <s v="Gloves"/>
        <s v="Hat"/>
        <s v="Jacket"/>
        <s v="Jewelry"/>
        <s v="Pants"/>
        <s v="Skirt"/>
        <s v="Sweater"/>
      </sharedItems>
    </cacheField>
    <cacheField name="[Customers].[Payment Method].[Payment Method]" caption="Payment Method" numFmtId="0" hierarchy="10" level="1">
      <sharedItems count="6">
        <s v="Bank Transfer"/>
        <s v="Cash"/>
        <s v="Credit Card"/>
        <s v="Debit Card"/>
        <s v="PayPal"/>
        <s v="Venmo"/>
      </sharedItems>
    </cacheField>
    <cacheField name="[Measures].[Sum of Revenue]" caption="Sum of Revenue" numFmtId="0" hierarchy="24"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2" memberValueDatatype="130" unbalanced="0">
      <fieldsUsage count="2">
        <fieldUsage x="-1"/>
        <fieldUsage x="2"/>
      </fieldsUsage>
    </cacheHierarchy>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2" memberValueDatatype="130" unbalanced="0">
      <fieldsUsage count="2">
        <fieldUsage x="-1"/>
        <fieldUsage x="3"/>
      </fieldsUsage>
    </cacheHierarchy>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5"/>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0"/>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3634257" backgroundQuery="1" createdVersion="8" refreshedVersion="8" minRefreshableVersion="3" recordCount="0" supportSubquery="1" supportAdvancedDrill="1" xr:uid="{DF6CEF5E-85D5-4707-87F9-82D9178C5417}">
  <cacheSource type="external" connectionId="1"/>
  <cacheFields count="6">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CustomerName].[CustomerName]" caption="CustomerName" numFmtId="0" hierarchy="18" level="1">
      <sharedItems count="10">
        <s v="Christy Rai"/>
        <s v="Christy Raje"/>
        <s v="Christy Raji"/>
        <s v="Colleen Sharma"/>
        <s v="Elizabeth Bradley"/>
        <s v="Jasmine Hall"/>
        <s v="Jenny Xu"/>
        <s v="Jenny Yang"/>
        <s v="Madison White"/>
        <s v="Sabrina Blanco"/>
      </sharedItems>
    </cacheField>
    <cacheField name="[Customers].[Item Purchased].[Item Purchased]" caption="Item Purchased" numFmtId="0" hierarchy="6" level="1">
      <sharedItems count="10">
        <s v="Blouse"/>
        <s v="Coat"/>
        <s v="Dress"/>
        <s v="Gloves"/>
        <s v="Hat"/>
        <s v="Jacket"/>
        <s v="Jewelry"/>
        <s v="Pants"/>
        <s v="Skirt"/>
        <s v="Sweater"/>
      </sharedItems>
    </cacheField>
    <cacheField name="[Customers].[Category].[Category]" caption="Category" numFmtId="0" hierarchy="7" level="1">
      <sharedItems count="4">
        <s v="Accessories"/>
        <s v="Clothing"/>
        <s v="Footwear"/>
        <s v="Outerwear"/>
      </sharedItems>
    </cacheField>
    <cacheField name="[Measures].[Sum of Revenue]" caption="Sum of Revenue" numFmtId="0" hierarchy="24" level="32767"/>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2" memberValueDatatype="130" unbalanced="0">
      <fieldsUsage count="2">
        <fieldUsage x="-1"/>
        <fieldUsage x="2"/>
      </fieldsUsage>
    </cacheHierarchy>
    <cacheHierarchy uniqueName="[Customers].[Category]" caption="Category" attribute="1" defaultMemberUniqueName="[Customers].[Category].[All]" allUniqueName="[Customers].[Category].[All]" dimensionUniqueName="[Customers]" displayFolder="" count="2" memberValueDatatype="130" unbalanced="0">
      <fieldsUsage count="2">
        <fieldUsage x="-1"/>
        <fieldUsage x="3"/>
      </fieldsUsage>
    </cacheHierarchy>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5"/>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0"/>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921547337966" backgroundQuery="1" createdVersion="8" refreshedVersion="8" minRefreshableVersion="3" recordCount="0" supportSubquery="1" supportAdvancedDrill="1" xr:uid="{45E6D36C-995E-4BB7-8335-4AE0960CB879}">
  <cacheSource type="external" connectionId="1"/>
  <cacheFields count="3">
    <cacheField name="[Measures].[Sum of Revenue]" caption="Sum of Revenue" numFmtId="0" hierarchy="24" level="32767"/>
    <cacheField name="[Customers].[Nameof Month].[Nameof Month]" caption="Nameof Month" numFmtId="0" hierarchy="15" level="1">
      <sharedItems count="12">
        <s v="April"/>
        <s v="August"/>
        <s v="December"/>
        <s v="February"/>
        <s v="January"/>
        <s v="July"/>
        <s v="June"/>
        <s v="March"/>
        <s v="May"/>
        <s v="November"/>
        <s v="October"/>
        <s v="September"/>
      </sharedItems>
    </cacheField>
    <cacheField name="[Customers].[OrderYear].[OrderYear]" caption="OrderYear" numFmtId="0" hierarchy="13" level="1">
      <sharedItems containsSemiMixedTypes="0" containsNonDate="0" containsString="0"/>
    </cacheField>
  </cacheFields>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0" memberValueDatatype="130" unbalanced="0"/>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2" memberValueDatatype="20" unbalanced="0">
      <fieldsUsage count="2">
        <fieldUsage x="-1"/>
        <fieldUsage x="2"/>
      </fieldsUsage>
    </cacheHierarchy>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2" memberValueDatatype="130" unbalanced="0">
      <fieldsUsage count="2">
        <fieldUsage x="-1"/>
        <fieldUsage x="1"/>
      </fieldsUsage>
    </cacheHierarchy>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PC" refreshedDate="46197.893571180553" backgroundQuery="1" createdVersion="3" refreshedVersion="8" minRefreshableVersion="3" recordCount="0" supportSubquery="1" supportAdvancedDrill="1" xr:uid="{F716EE78-E3FE-408A-A21F-3F2F7A9E1A97}">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Customers].[Customer ID]" caption="Customer ID" attribute="1" defaultMemberUniqueName="[Customers].[Customer ID].[All]" allUniqueName="[Customers].[Customer ID].[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Full Gender]" caption="Full Gender" attribute="1" defaultMemberUniqueName="[Customers].[Full Gender].[All]" allUniqueName="[Customers].[Full Gender].[All]" dimensionUniqueName="[Customers]" displayFolder="" count="0" memberValueDatatype="13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venue]" caption="Revenue" attribute="1" defaultMemberUniqueName="[Customers].[Revenue].[All]" allUniqueName="[Customers].[Revenue].[All]" dimensionUniqueName="[Customers]" displayFolder="" count="0" memberValueDatatype="5" unbalanced="0"/>
    <cacheHierarchy uniqueName="[Customers].[Item Purchased]" caption="Item Purchased" attribute="1" defaultMemberUniqueName="[Customers].[Item Purchased].[All]" allUniqueName="[Customers].[Item Purchased].[All]" dimensionUniqueName="[Customers]" displayFolder="" count="0" memberValueDatatype="130" unbalanced="0"/>
    <cacheHierarchy uniqueName="[Customers].[Category]" caption="Category" attribute="1" defaultMemberUniqueName="[Customers].[Category].[All]" allUniqueName="[Customers].[Categor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ason]" caption="Season" attribute="1" defaultMemberUniqueName="[Customers].[Season].[All]" allUniqueName="[Customers].[Season].[All]" dimensionUniqueName="[Customers]" displayFolder="" count="0" memberValueDatatype="130" unbalanced="0"/>
    <cacheHierarchy uniqueName="[Customers].[Payment Method]" caption="Payment Method" attribute="1" defaultMemberUniqueName="[Customers].[Payment Method].[All]" allUniqueName="[Customers].[Payment Method].[All]" dimensionUniqueName="[Customers]" displayFolder="" count="0" memberValueDatatype="130" unbalanced="0"/>
    <cacheHierarchy uniqueName="[Customers].[OrderDate]" caption="OrderDate" attribute="1" time="1" defaultMemberUniqueName="[Customers].[OrderDate].[All]" allUniqueName="[Customers].[OrderDate].[All]" dimensionUniqueName="[Customers]" displayFolder="" count="0" memberValueDatatype="7" unbalanced="0"/>
    <cacheHierarchy uniqueName="[Customers].[BirthDate]" caption="BirthDate" attribute="1" time="1" defaultMemberUniqueName="[Customers].[BirthDate].[All]" allUniqueName="[Customers].[BirthDate].[All]" dimensionUniqueName="[Customers]" displayFolder="" count="0" memberValueDatatype="7" unbalanced="0"/>
    <cacheHierarchy uniqueName="[Customers].[OrderYear]" caption="OrderYear" attribute="1" defaultMemberUniqueName="[Customers].[OrderYear].[All]" allUniqueName="[Customers].[OrderYear].[All]" dimensionUniqueName="[Customers]" displayFolder="" count="0" memberValueDatatype="20" unbalanced="0"/>
    <cacheHierarchy uniqueName="[Customers].[OrderMonth]" caption="OrderMonth" attribute="1" defaultMemberUniqueName="[Customers].[OrderMonth].[All]" allUniqueName="[Customers].[OrderMonth].[All]" dimensionUniqueName="[Customers]" displayFolder="" count="0" memberValueDatatype="20" unbalanced="0"/>
    <cacheHierarchy uniqueName="[Customers].[Nameof Month]" caption="Nameof Month" attribute="1" defaultMemberUniqueName="[Customers].[Nameof Month].[All]" allUniqueName="[Customers].[Nameof Month].[All]" dimensionUniqueName="[Customers]" displayFolder="" count="0" memberValueDatatype="130" unbalanced="0"/>
    <cacheHierarchy uniqueName="[Customers].[DayoftheWeek]" caption="DayoftheWeek" attribute="1" defaultMemberUniqueName="[Customers].[DayoftheWeek].[All]" allUniqueName="[Customers].[DayoftheWeek].[All]" dimensionUniqueName="[Customers]" displayFolder="" count="0" memberValueDatatype="130" unbalanced="0"/>
    <cacheHierarchy uniqueName="[Customers].[CustomerAge]" caption="CustomerAge" attribute="1" defaultMemberUniqueName="[Customers].[CustomerAge].[All]" allUniqueName="[Customers].[CustomerAge].[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Age Group]" caption="Age Group" attribute="1" defaultMemberUniqueName="[Customers].[Age Group].[All]" allUniqueName="[Customers].[Age Group].[All]" dimensionUniqueName="[Customers]" displayFolder="" count="0" memberValueDatatype="130" unbalanced="0"/>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Customer ID]" caption="Sum of Customer 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Customers" count="0" hidden="1">
      <extLst>
        <ext xmlns:x15="http://schemas.microsoft.com/office/spreadsheetml/2010/11/main" uri="{B97F6D7D-B522-45F9-BDA1-12C45D357490}">
          <x15:cacheHierarchy aggregatedColumn="5"/>
        </ext>
      </extLst>
    </cacheHierarchy>
    <cacheHierarchy uniqueName="[Measures].[Count of Item Purchased]" caption="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Distinct Count of Item Purchased]" caption="Distinct Count of Item Purchased" measure="1" displayFolder="" measureGroup="Customer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Distinct Count of Country]" caption="Distinct Count of Country" measure="1" displayFolder="" measureGroup="Customers" count="0" hidden="1">
      <extLst>
        <ext xmlns:x15="http://schemas.microsoft.com/office/spreadsheetml/2010/11/main" uri="{B97F6D7D-B522-45F9-BDA1-12C45D357490}">
          <x15:cacheHierarchy aggregatedColumn="8"/>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18"/>
        </ext>
      </extLst>
    </cacheHierarchy>
    <cacheHierarchy uniqueName="[Measures].[Count of Full Gender]" caption="Count of Full Gender" measure="1" displayFolder="" measureGroup="Customers"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ustomers" count="0" hidden="1">
      <extLst>
        <ext xmlns:x15="http://schemas.microsoft.com/office/spreadsheetml/2010/11/main" uri="{B97F6D7D-B522-45F9-BDA1-12C45D357490}">
          <x15:cacheHierarchy aggregatedColumn="19"/>
        </ext>
      </extLst>
    </cacheHierarchy>
  </cacheHierarchies>
  <kpis count="0"/>
  <dimensions count="2">
    <dimension name="Customers" uniqueName="[Customers]" caption="Customers"/>
    <dimension measure="1" name="Measures" uniqueName="[Measures]" caption="Measures"/>
  </dimensions>
  <measureGroups count="1">
    <measureGroup name="Customers" caption="Customers"/>
  </measureGroups>
  <maps count="1">
    <map measureGroup="0" dimension="0"/>
  </maps>
  <extLst>
    <ext xmlns:x14="http://schemas.microsoft.com/office/spreadsheetml/2009/9/main" uri="{725AE2AE-9491-48be-B2B4-4EB974FC3084}">
      <x14:pivotCacheDefinition slicerData="1" pivotCacheId="937034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7BC324-73A9-4C62-8C86-D0B0567B8F88}" name="PivotTable1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8"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0">
      <pivotArea collapsedLevelsAreSubtotals="1" fieldPosition="0">
        <references count="1">
          <reference field="1" count="1">
            <x v="0"/>
          </reference>
        </references>
      </pivotArea>
    </format>
    <format dxfId="1">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B89B7-F9A3-4B7B-BA4A-51F0B9189A0E}" name="PivotTable1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2:J37"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Revenue" fld="4" baseField="0" baseItem="0" numFmtId="164"/>
  </dataFields>
  <formats count="2">
    <format dxfId="2">
      <pivotArea dataOnly="0" labelOnly="1" outline="0" axis="axisValues" fieldPosition="0"/>
    </format>
    <format dxfId="3">
      <pivotArea outline="0" collapsedLevelsAreSubtotals="1" fieldPosition="0"/>
    </format>
  </formats>
  <chartFormats count="10">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3" count="1" selected="0">
            <x v="0"/>
          </reference>
        </references>
      </pivotArea>
    </chartFormat>
    <chartFormat chart="4" format="20">
      <pivotArea type="data" outline="0" fieldPosition="0">
        <references count="2">
          <reference field="4294967294" count="1" selected="0">
            <x v="0"/>
          </reference>
          <reference field="3" count="1" selected="0">
            <x v="1"/>
          </reference>
        </references>
      </pivotArea>
    </chartFormat>
    <chartFormat chart="4" format="21">
      <pivotArea type="data" outline="0" fieldPosition="0">
        <references count="2">
          <reference field="4294967294" count="1" selected="0">
            <x v="0"/>
          </reference>
          <reference field="3" count="1" selected="0">
            <x v="2"/>
          </reference>
        </references>
      </pivotArea>
    </chartFormat>
    <chartFormat chart="4" format="22">
      <pivotArea type="data" outline="0" fieldPosition="0">
        <references count="2">
          <reference field="4294967294" count="1" selected="0">
            <x v="0"/>
          </reference>
          <reference field="3"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4">
      <autoFilter ref="A1">
        <filterColumn colId="0">
          <top10 val="10" filterVal="10"/>
        </filterColumn>
      </autoFilter>
    </filter>
    <filter fld="2" type="count" id="2" iMeasureHier="24">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B37F70-86C8-4764-90E0-68E671D136CA}" name="PivotTable12"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40:F47"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Percentage of Revenue" fld="4" showDataAs="percentOfTotal" baseField="3" baseItem="2" numFmtId="10"/>
  </dataFields>
  <formats count="3">
    <format dxfId="4">
      <pivotArea dataOnly="0" labelOnly="1" outline="0" axis="axisValues" fieldPosition="0"/>
    </format>
    <format dxfId="5">
      <pivotArea outline="0" collapsedLevelsAreSubtotals="1" fieldPosition="0"/>
    </format>
    <format dxfId="6">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Percent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4">
      <autoFilter ref="A1">
        <filterColumn colId="0">
          <top10 val="10" filterVal="10"/>
        </filterColumn>
      </autoFilter>
    </filter>
    <filter fld="2" type="count" id="2" iMeasureHier="2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A761F5-16ED-4129-891F-BFCD0CBA7E12}"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B51"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Sum of Revenue" fld="4" baseField="0" baseItem="0"/>
  </dataFields>
  <formats count="2">
    <format dxfId="7">
      <pivotArea dataOnly="0" labelOnly="1" outline="0" axis="axisValues" fieldPosition="0"/>
    </format>
    <format dxfId="8">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4">
      <autoFilter ref="A1">
        <filterColumn colId="0">
          <top10 val="10" filterVal="10"/>
        </filterColumn>
      </autoFilter>
    </filter>
    <filter fld="2" type="count" id="2" iMeasureHier="2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198D5D-D061-47C1-84BF-078B1CA4FAFA}"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s" fld="0" subtotal="count" baseField="0" baseItem="0" numFmtId="3">
      <extLst>
        <ext xmlns:x15="http://schemas.microsoft.com/office/spreadsheetml/2010/11/main" uri="{FABC7310-3BB5-11E1-824E-6D434824019B}">
          <x15:dataField isCountDistinct="1"/>
        </ext>
      </extLst>
    </dataField>
  </dataFields>
  <formats count="1">
    <format dxfId="9">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 Revenue"/>
    <pivotHierarchy dragToData="1"/>
    <pivotHierarchy dragToData="1" caption="Total Product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CB69E1-7038-410A-B4B1-119948E6F64A}"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2:F36"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3"/>
  </rowFields>
  <rowItems count="4">
    <i>
      <x/>
    </i>
    <i>
      <x v="1"/>
    </i>
    <i>
      <x v="2"/>
    </i>
    <i t="grand">
      <x/>
    </i>
  </rowItems>
  <colItems count="1">
    <i/>
  </colItems>
  <dataFields count="1">
    <dataField name="Count of Age Group" fld="4" subtotal="count" baseField="0" baseItem="0"/>
  </dataFields>
  <formats count="2">
    <format dxfId="10">
      <pivotArea dataOnly="0" labelOnly="1" outline="0" axis="axisValues" fieldPosition="0"/>
    </format>
    <format dxfId="11">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4">
      <autoFilter ref="A1">
        <filterColumn colId="0">
          <top10 val="10" filterVal="10"/>
        </filterColumn>
      </autoFilter>
    </filter>
    <filter fld="2" type="count" id="2" iMeasureHier="24">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E8E377-5642-49EC-AC91-84F17E2139D5}"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5:J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3" baseField="0" baseItem="0"/>
  </dataFields>
  <formats count="2">
    <format dxfId="12">
      <pivotArea dataOnly="0" labelOnly="1" outline="0" axis="axisValues" fieldPosition="0"/>
    </format>
    <format dxfId="13">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4">
      <autoFilter ref="A1">
        <filterColumn colId="0">
          <top10 val="10" filterVal="10"/>
        </filterColumn>
      </autoFilter>
    </filter>
    <filter fld="2" type="count" id="2" iMeasureHier="24">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B5B237-1E6B-45B4-8B91-2DD69CD359C1}"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Revenue" fld="0" baseField="0" baseItem="0" numFmtId="164"/>
  </dataFields>
  <formats count="1">
    <format dxfId="14">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3B4DA3-E844-47E5-B52A-9DC3684C85F4}" name="PivotTable6"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40:J4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Revenue" fld="4" baseField="0" baseItem="0"/>
  </dataFields>
  <formats count="2">
    <format dxfId="15">
      <pivotArea dataOnly="0" labelOnly="1" outline="0" axis="axisValues" fieldPosition="0"/>
    </format>
    <format dxfId="16">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Percent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4">
      <autoFilter ref="A1">
        <filterColumn colId="0">
          <top10 val="10" filterVal="10"/>
        </filterColumn>
      </autoFilter>
    </filter>
    <filter fld="2" type="count" id="2" iMeasureHier="24">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1DDC74-C1C4-4241-8DFD-CB8E76C2BC69}"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5:F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2" baseField="0" baseItem="0" numFmtId="164"/>
  </dataFields>
  <formats count="2">
    <format dxfId="17">
      <pivotArea dataOnly="0" labelOnly="1" outline="0" axis="axisValues" fieldPosition="0"/>
    </format>
    <format dxfId="1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D2D474-A525-438B-A7B8-6D5E1DC28D90}"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6B44E3-6892-4844-B8F2-B44A6C10BD0F}"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2:B3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3">
    <i>
      <x/>
    </i>
    <i>
      <x v="1"/>
    </i>
    <i t="grand">
      <x/>
    </i>
  </rowItems>
  <colItems count="1">
    <i/>
  </colItems>
  <dataFields count="1">
    <dataField name="Count of Full Gender" fld="4" subtotal="count" baseField="0" baseItem="0" numFmtId="1"/>
  </dataFields>
  <formats count="2">
    <format dxfId="19">
      <pivotArea dataOnly="0" labelOnly="1" outline="0" axis="axisValues" fieldPosition="0"/>
    </format>
    <format dxfId="20">
      <pivotArea outline="0" collapsedLevelsAreSubtotals="1" fieldPosition="0"/>
    </format>
  </formats>
  <chartFormats count="1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3" count="1" selected="0">
            <x v="0"/>
          </reference>
        </references>
      </pivotArea>
    </chartFormat>
    <chartFormat chart="5" format="11">
      <pivotArea type="data" outline="0" fieldPosition="0">
        <references count="2">
          <reference field="4294967294" count="1" selected="0">
            <x v="0"/>
          </reference>
          <reference field="3" count="1" selected="0">
            <x v="1"/>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3" count="1" selected="0">
            <x v="0"/>
          </reference>
        </references>
      </pivotArea>
    </chartFormat>
    <chartFormat chart="9" format="17">
      <pivotArea type="data" outline="0" fieldPosition="0">
        <references count="2">
          <reference field="4294967294" count="1" selected="0">
            <x v="0"/>
          </reference>
          <reference field="3" count="1" selected="0">
            <x v="1"/>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3" count="1" selected="0">
            <x v="0"/>
          </reference>
        </references>
      </pivotArea>
    </chartFormat>
    <chartFormat chart="10" format="17">
      <pivotArea type="data" outline="0" fieldPosition="0">
        <references count="2">
          <reference field="4294967294" count="1" selected="0">
            <x v="0"/>
          </reference>
          <reference field="3"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3" count="1" selected="0">
            <x v="0"/>
          </reference>
        </references>
      </pivotArea>
    </chartFormat>
    <chartFormat chart="15" format="8">
      <pivotArea type="data" outline="0" fieldPosition="0">
        <references count="2">
          <reference field="4294967294" count="1" selected="0">
            <x v="0"/>
          </reference>
          <reference field="3"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4">
      <autoFilter ref="A1">
        <filterColumn colId="0">
          <top10 val="10" filterVal="10"/>
        </filterColumn>
      </autoFilter>
    </filter>
    <filter fld="2" type="count" id="2" iMeasureHier="2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9F1680-A4E1-48F6-BE03-9EB3B59F0263}"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untries" fld="0" subtotal="count" baseField="0" baseItem="0">
      <extLst>
        <ext xmlns:x15="http://schemas.microsoft.com/office/spreadsheetml/2010/11/main" uri="{FABC7310-3BB5-11E1-824E-6D434824019B}">
          <x15:dataField isCountDistinct="1"/>
        </ext>
      </extLst>
    </dataField>
  </dataFields>
  <formats count="1">
    <format dxfId="21">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Customers"/>
    <pivotHierarchy dragToData="1" caption=" Revenue"/>
    <pivotHierarchy dragToData="1"/>
    <pivotHierarchy dragToData="1" caption="Total Products"/>
    <pivotHierarchy dragToData="1"/>
    <pivotHierarchy dragToData="1" caption="Total Countri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C94F11-91F4-4644-9495-12A32FD53513}"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ows"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Row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5. Analyzing Data &amp; Dashboard creation.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A8625B74-E982-42A4-81B2-FC314C100ECB}" sourceName="[Customers].[OrderYear]">
  <pivotTables>
    <pivotTable tabId="1" name="PivotTable12"/>
    <pivotTable tabId="1" name="PivotTable1"/>
    <pivotTable tabId="1" name="PivotTable9"/>
    <pivotTable tabId="1" name="PivotTable13"/>
    <pivotTable tabId="1" name="PivotTable11"/>
    <pivotTable tabId="1" name="PivotTable6"/>
    <pivotTable tabId="1" name="PivotTable4"/>
    <pivotTable tabId="1" name="PivotTable7"/>
    <pivotTable tabId="1" name="PivotTable10"/>
    <pivotTable tabId="1" name="PivotTable2"/>
    <pivotTable tabId="1" name="PivotTable14"/>
    <pivotTable tabId="1" name="PivotTable5"/>
    <pivotTable tabId="1" name="PivotTable8"/>
    <pivotTable tabId="1" name="PivotTable3"/>
  </pivotTables>
  <data>
    <olap pivotCacheId="93703468">
      <levels count="2">
        <level uniqueName="[Customers].[OrderYear].[(All)]" sourceCaption="(All)" count="0"/>
        <level uniqueName="[Customers].[OrderYear].[OrderYear]" sourceCaption="OrderYear" count="4">
          <ranges>
            <range startItem="0">
              <i n="[Customers].[OrderYear].&amp;[2011]" c="2011"/>
              <i n="[Customers].[OrderYear].&amp;[2012]" c="2012"/>
              <i n="[Customers].[OrderYear].&amp;[2013]" c="2013"/>
              <i n="[Customers].[OrderYear].&amp;[2014]" c="2014"/>
            </range>
          </ranges>
        </level>
      </levels>
      <selections count="1">
        <selection n="[Customers].[Orde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3803EF9-C035-4020-A1C4-168B5B6FCC32}" sourceName="[Customers].[Season]">
  <pivotTables>
    <pivotTable tabId="1" name="PivotTable12"/>
    <pivotTable tabId="1" name="PivotTable1"/>
    <pivotTable tabId="1" name="PivotTable9"/>
    <pivotTable tabId="1" name="PivotTable13"/>
    <pivotTable tabId="1" name="PivotTable11"/>
    <pivotTable tabId="1" name="PivotTable6"/>
    <pivotTable tabId="1" name="PivotTable4"/>
    <pivotTable tabId="1" name="PivotTable7"/>
    <pivotTable tabId="1" name="PivotTable10"/>
    <pivotTable tabId="1" name="PivotTable2"/>
    <pivotTable tabId="1" name="PivotTable14"/>
    <pivotTable tabId="1" name="PivotTable5"/>
    <pivotTable tabId="1" name="PivotTable8"/>
    <pivotTable tabId="1" name="PivotTable3"/>
  </pivotTables>
  <data>
    <olap pivotCacheId="93703468">
      <levels count="2">
        <level uniqueName="[Customers].[Season].[(All)]" sourceCaption="(All)" count="0"/>
        <level uniqueName="[Customers].[Season].[Season]" sourceCaption="Season" count="4">
          <ranges>
            <range startItem="0">
              <i n="[Customers].[Season].&amp;[Fall]" c="Fall"/>
              <i n="[Customers].[Season].&amp;[Spring]" c="Spring"/>
              <i n="[Customers].[Season].&amp;[Summer]" c="Summer"/>
              <i n="[Customers].[Season].&amp;[Winter]" c="Winter"/>
            </range>
          </ranges>
        </level>
      </levels>
      <selections count="1">
        <selection n="[Customers].[Sea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Year" xr10:uid="{FC7F0A28-147D-4F45-AFBB-E44ADCD2F588}" cache="Slicer_OrderYear" caption="YEAR" columnCount="4" level="1" style="Slicer Style 1" rowHeight="241300"/>
  <slicer name="Season" xr10:uid="{55387502-2BD1-450D-8E68-C8313EA4D4DA}" cache="Slicer_Season" caption="SEASON"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57A2-C373-4506-AB60-34A9A2D8639F}">
  <dimension ref="A1:J65"/>
  <sheetViews>
    <sheetView tabSelected="1" workbookViewId="0">
      <selection activeCell="H10" sqref="H10"/>
    </sheetView>
  </sheetViews>
  <sheetFormatPr defaultRowHeight="15" x14ac:dyDescent="0.25"/>
  <cols>
    <col min="1" max="1" width="13.140625" bestFit="1" customWidth="1"/>
    <col min="2" max="2" width="19.7109375" bestFit="1" customWidth="1"/>
    <col min="4" max="4" width="10.140625" bestFit="1" customWidth="1"/>
    <col min="5" max="5" width="16.42578125" bestFit="1" customWidth="1"/>
    <col min="6" max="6" width="15.5703125" bestFit="1" customWidth="1"/>
    <col min="7" max="7" width="22" bestFit="1" customWidth="1"/>
    <col min="8" max="8" width="14.5703125" bestFit="1" customWidth="1"/>
    <col min="9" max="9" width="13.140625" bestFit="1" customWidth="1"/>
    <col min="10" max="10" width="15.5703125" bestFit="1" customWidth="1"/>
    <col min="11" max="11" width="21.5703125" customWidth="1"/>
    <col min="12" max="12" width="7.140625" bestFit="1" customWidth="1"/>
    <col min="13" max="13" width="8.7109375" bestFit="1" customWidth="1"/>
    <col min="14" max="14" width="4" bestFit="1" customWidth="1"/>
    <col min="15" max="15" width="7.42578125" bestFit="1" customWidth="1"/>
    <col min="16" max="16" width="6.42578125" bestFit="1" customWidth="1"/>
    <col min="17" max="17" width="5.85546875" bestFit="1" customWidth="1"/>
    <col min="18" max="18" width="7.85546875" bestFit="1" customWidth="1"/>
    <col min="19" max="19" width="5.85546875" bestFit="1" customWidth="1"/>
    <col min="20" max="20" width="7.7109375" bestFit="1" customWidth="1"/>
    <col min="21" max="21" width="5.28515625" bestFit="1" customWidth="1"/>
    <col min="22" max="22" width="5.140625" bestFit="1" customWidth="1"/>
    <col min="23" max="23" width="6.28515625" bestFit="1" customWidth="1"/>
    <col min="24" max="24" width="6.5703125" bestFit="1" customWidth="1"/>
    <col min="25" max="25" width="5" bestFit="1" customWidth="1"/>
    <col min="26" max="26" width="9" bestFit="1" customWidth="1"/>
    <col min="27" max="27" width="5.85546875" bestFit="1" customWidth="1"/>
    <col min="28" max="28" width="10.5703125" bestFit="1" customWidth="1"/>
    <col min="29" max="29" width="8.28515625" bestFit="1" customWidth="1"/>
    <col min="30" max="30" width="6.7109375" bestFit="1" customWidth="1"/>
    <col min="31" max="31" width="11.28515625" bestFit="1" customWidth="1"/>
  </cols>
  <sheetData>
    <row r="1" spans="1:10" ht="15.75" x14ac:dyDescent="0.25">
      <c r="B1" s="1" t="s">
        <v>0</v>
      </c>
    </row>
    <row r="2" spans="1:10" x14ac:dyDescent="0.25">
      <c r="B2" s="2" t="s">
        <v>1</v>
      </c>
      <c r="D2" s="2" t="s">
        <v>2</v>
      </c>
      <c r="E2" s="2"/>
      <c r="F2" s="2" t="s">
        <v>3</v>
      </c>
      <c r="G2" s="2"/>
      <c r="H2" s="2" t="s">
        <v>4</v>
      </c>
    </row>
    <row r="3" spans="1:10" x14ac:dyDescent="0.25">
      <c r="A3" s="13" t="s">
        <v>5</v>
      </c>
      <c r="B3" s="13" t="s">
        <v>1</v>
      </c>
      <c r="D3" s="13" t="s">
        <v>6</v>
      </c>
      <c r="F3" s="13" t="s">
        <v>3</v>
      </c>
      <c r="H3" s="13" t="s">
        <v>4</v>
      </c>
    </row>
    <row r="4" spans="1:10" x14ac:dyDescent="0.25">
      <c r="A4">
        <v>3900</v>
      </c>
      <c r="B4">
        <v>3900</v>
      </c>
      <c r="D4" s="3">
        <v>5180929.4188999999</v>
      </c>
      <c r="F4" s="4">
        <v>25</v>
      </c>
      <c r="H4" s="4">
        <v>10</v>
      </c>
    </row>
    <row r="5" spans="1:10" x14ac:dyDescent="0.25">
      <c r="B5">
        <f>GETPIVOTDATA("[Measures].[Count of Customer ID]",$B$3)</f>
        <v>3900</v>
      </c>
      <c r="D5" s="3">
        <f>GETPIVOTDATA("[Measures].[Sum of Revenue]",$D$3)</f>
        <v>5180929.4188999999</v>
      </c>
      <c r="F5">
        <f>GETPIVOTDATA("[Measures].[Distinct Count of Item Purchased]",$F$3)</f>
        <v>25</v>
      </c>
      <c r="H5">
        <f>GETPIVOTDATA("[Measures].[Distinct Count of Country]",$H$3)</f>
        <v>10</v>
      </c>
    </row>
    <row r="7" spans="1:10" x14ac:dyDescent="0.25">
      <c r="A7" t="s">
        <v>7</v>
      </c>
      <c r="D7" s="3"/>
    </row>
    <row r="8" spans="1:10" x14ac:dyDescent="0.25">
      <c r="A8" t="s">
        <v>8</v>
      </c>
      <c r="D8" s="5" t="s">
        <v>9</v>
      </c>
    </row>
    <row r="9" spans="1:10" x14ac:dyDescent="0.25">
      <c r="A9" t="s">
        <v>10</v>
      </c>
      <c r="F9" s="6"/>
      <c r="G9" s="7">
        <f ca="1">NOW()</f>
        <v>46203.581704398151</v>
      </c>
    </row>
    <row r="10" spans="1:10" x14ac:dyDescent="0.25">
      <c r="A10" t="s">
        <v>11</v>
      </c>
    </row>
    <row r="11" spans="1:10" x14ac:dyDescent="0.25">
      <c r="A11" t="s">
        <v>12</v>
      </c>
      <c r="B11" s="8" t="s">
        <v>13</v>
      </c>
      <c r="D11" s="8" t="s">
        <v>14</v>
      </c>
    </row>
    <row r="12" spans="1:10" x14ac:dyDescent="0.25">
      <c r="A12" t="s">
        <v>15</v>
      </c>
      <c r="D12" s="3"/>
    </row>
    <row r="13" spans="1:10" x14ac:dyDescent="0.25">
      <c r="B13" s="3"/>
    </row>
    <row r="14" spans="1:10" x14ac:dyDescent="0.25">
      <c r="A14" s="2" t="s">
        <v>16</v>
      </c>
      <c r="B14" s="3"/>
      <c r="E14" s="2" t="s">
        <v>17</v>
      </c>
      <c r="I14" s="2" t="s">
        <v>18</v>
      </c>
    </row>
    <row r="15" spans="1:10" x14ac:dyDescent="0.25">
      <c r="A15" s="13" t="s">
        <v>19</v>
      </c>
      <c r="B15" s="3" t="s">
        <v>20</v>
      </c>
      <c r="E15" s="13" t="s">
        <v>19</v>
      </c>
      <c r="F15" s="3" t="s">
        <v>20</v>
      </c>
      <c r="I15" s="13" t="s">
        <v>19</v>
      </c>
      <c r="J15" s="3" t="s">
        <v>20</v>
      </c>
    </row>
    <row r="16" spans="1:10" x14ac:dyDescent="0.25">
      <c r="A16" s="9" t="s">
        <v>21</v>
      </c>
      <c r="B16" s="3">
        <v>532118.14480000001</v>
      </c>
      <c r="E16" s="9" t="s">
        <v>22</v>
      </c>
      <c r="F16" s="3">
        <v>10087.9319</v>
      </c>
      <c r="I16" s="9" t="s">
        <v>23</v>
      </c>
      <c r="J16" s="3">
        <v>246195.62109999999</v>
      </c>
    </row>
    <row r="17" spans="1:10" x14ac:dyDescent="0.25">
      <c r="A17" s="9" t="s">
        <v>24</v>
      </c>
      <c r="B17">
        <v>432434.55780000001</v>
      </c>
      <c r="E17" s="9" t="s">
        <v>25</v>
      </c>
      <c r="F17" s="3">
        <v>10917.3559</v>
      </c>
      <c r="I17" s="9" t="s">
        <v>26</v>
      </c>
      <c r="J17" s="3">
        <v>216670.46909999999</v>
      </c>
    </row>
    <row r="18" spans="1:10" x14ac:dyDescent="0.25">
      <c r="A18" s="9" t="s">
        <v>27</v>
      </c>
      <c r="B18">
        <v>514479.20730000001</v>
      </c>
      <c r="E18" s="9" t="s">
        <v>28</v>
      </c>
      <c r="F18" s="3">
        <v>10999.457399999999</v>
      </c>
      <c r="I18" s="9" t="s">
        <v>29</v>
      </c>
      <c r="J18" s="3">
        <v>225426.9442</v>
      </c>
    </row>
    <row r="19" spans="1:10" x14ac:dyDescent="0.25">
      <c r="A19" s="9" t="s">
        <v>30</v>
      </c>
      <c r="B19">
        <v>472192.90960000001</v>
      </c>
      <c r="E19" s="9" t="s">
        <v>31</v>
      </c>
      <c r="F19" s="3">
        <v>11974.774600000001</v>
      </c>
      <c r="I19" s="9" t="s">
        <v>32</v>
      </c>
      <c r="J19" s="3">
        <v>224296.09640000001</v>
      </c>
    </row>
    <row r="20" spans="1:10" x14ac:dyDescent="0.25">
      <c r="A20" s="9" t="s">
        <v>33</v>
      </c>
      <c r="B20">
        <v>495371.85960000003</v>
      </c>
      <c r="E20" s="9" t="s">
        <v>34</v>
      </c>
      <c r="F20" s="3">
        <v>12044.0802</v>
      </c>
      <c r="I20" s="9" t="s">
        <v>35</v>
      </c>
      <c r="J20" s="3">
        <v>229319.32</v>
      </c>
    </row>
    <row r="21" spans="1:10" x14ac:dyDescent="0.25">
      <c r="A21" s="9" t="s">
        <v>36</v>
      </c>
      <c r="B21">
        <v>414003.83870000002</v>
      </c>
      <c r="E21" s="9" t="s">
        <v>37</v>
      </c>
      <c r="F21" s="3">
        <v>10959.3791</v>
      </c>
      <c r="I21" s="9" t="s">
        <v>38</v>
      </c>
      <c r="J21" s="3">
        <v>228621.29269999999</v>
      </c>
    </row>
    <row r="22" spans="1:10" x14ac:dyDescent="0.25">
      <c r="A22" s="9" t="s">
        <v>39</v>
      </c>
      <c r="B22">
        <v>304657.54639999999</v>
      </c>
      <c r="E22" s="9" t="s">
        <v>40</v>
      </c>
      <c r="F22" s="3">
        <v>12817.392400000001</v>
      </c>
      <c r="I22" s="9" t="s">
        <v>41</v>
      </c>
      <c r="J22" s="3">
        <v>224753.46059999999</v>
      </c>
    </row>
    <row r="23" spans="1:10" x14ac:dyDescent="0.25">
      <c r="A23" s="9" t="s">
        <v>42</v>
      </c>
      <c r="B23">
        <v>375835.7562</v>
      </c>
      <c r="E23" s="9" t="s">
        <v>43</v>
      </c>
      <c r="F23" s="3">
        <v>11209.351699999999</v>
      </c>
      <c r="I23" s="9" t="s">
        <v>44</v>
      </c>
      <c r="J23" s="3">
        <v>220168.59849999999</v>
      </c>
    </row>
    <row r="24" spans="1:10" x14ac:dyDescent="0.25">
      <c r="A24" s="9" t="s">
        <v>45</v>
      </c>
      <c r="B24">
        <v>364008.53200000001</v>
      </c>
      <c r="E24" s="9" t="s">
        <v>46</v>
      </c>
      <c r="F24" s="3">
        <v>11922.4308</v>
      </c>
      <c r="I24" s="9" t="s">
        <v>47</v>
      </c>
      <c r="J24" s="3">
        <v>223131.527</v>
      </c>
    </row>
    <row r="25" spans="1:10" x14ac:dyDescent="0.25">
      <c r="A25" s="9" t="s">
        <v>48</v>
      </c>
      <c r="B25">
        <v>362351.19059999997</v>
      </c>
      <c r="E25" s="9" t="s">
        <v>49</v>
      </c>
      <c r="F25" s="3">
        <v>10824.9337</v>
      </c>
      <c r="I25" s="9" t="s">
        <v>50</v>
      </c>
      <c r="J25" s="3">
        <v>224639.1421</v>
      </c>
    </row>
    <row r="26" spans="1:10" x14ac:dyDescent="0.25">
      <c r="A26" s="9" t="s">
        <v>51</v>
      </c>
      <c r="B26">
        <v>527040.77249999996</v>
      </c>
      <c r="E26" s="9" t="s">
        <v>52</v>
      </c>
      <c r="F26" s="3">
        <v>113757.0877</v>
      </c>
      <c r="I26" s="9" t="s">
        <v>52</v>
      </c>
      <c r="J26" s="3">
        <v>2263222.4717000001</v>
      </c>
    </row>
    <row r="27" spans="1:10" x14ac:dyDescent="0.25">
      <c r="A27" s="9" t="s">
        <v>53</v>
      </c>
      <c r="B27">
        <v>386435.10340000002</v>
      </c>
    </row>
    <row r="28" spans="1:10" x14ac:dyDescent="0.25">
      <c r="A28" s="9" t="s">
        <v>52</v>
      </c>
      <c r="B28">
        <v>5180929.4188999999</v>
      </c>
    </row>
    <row r="31" spans="1:10" x14ac:dyDescent="0.25">
      <c r="A31" s="10" t="s">
        <v>54</v>
      </c>
      <c r="E31" s="2" t="s">
        <v>55</v>
      </c>
      <c r="I31" s="2" t="s">
        <v>56</v>
      </c>
    </row>
    <row r="32" spans="1:10" x14ac:dyDescent="0.25">
      <c r="A32" s="13" t="s">
        <v>19</v>
      </c>
      <c r="B32" s="3" t="s">
        <v>57</v>
      </c>
      <c r="E32" s="13" t="s">
        <v>19</v>
      </c>
      <c r="F32" s="3" t="s">
        <v>58</v>
      </c>
      <c r="I32" s="13" t="s">
        <v>19</v>
      </c>
      <c r="J32" s="3" t="s">
        <v>20</v>
      </c>
    </row>
    <row r="33" spans="1:10" x14ac:dyDescent="0.25">
      <c r="A33" s="9" t="s">
        <v>59</v>
      </c>
      <c r="B33" s="11">
        <v>1248</v>
      </c>
      <c r="E33" s="9" t="s">
        <v>60</v>
      </c>
      <c r="F33" s="11">
        <v>280</v>
      </c>
      <c r="I33" s="9" t="s">
        <v>61</v>
      </c>
      <c r="J33" s="3">
        <v>1652074.3207</v>
      </c>
    </row>
    <row r="34" spans="1:10" x14ac:dyDescent="0.25">
      <c r="A34" s="9" t="s">
        <v>62</v>
      </c>
      <c r="B34" s="11">
        <v>2652</v>
      </c>
      <c r="E34" s="9" t="s">
        <v>63</v>
      </c>
      <c r="F34" s="11">
        <v>1834</v>
      </c>
      <c r="I34" s="9" t="s">
        <v>64</v>
      </c>
      <c r="J34" s="3">
        <v>2263913.6294999998</v>
      </c>
    </row>
    <row r="35" spans="1:10" x14ac:dyDescent="0.25">
      <c r="A35" s="9" t="s">
        <v>52</v>
      </c>
      <c r="B35" s="11">
        <v>3900</v>
      </c>
      <c r="E35" s="9" t="s">
        <v>65</v>
      </c>
      <c r="F35" s="11">
        <v>1786</v>
      </c>
      <c r="I35" s="9" t="s">
        <v>66</v>
      </c>
      <c r="J35" s="3">
        <v>819649.70689999999</v>
      </c>
    </row>
    <row r="36" spans="1:10" x14ac:dyDescent="0.25">
      <c r="E36" s="9" t="s">
        <v>52</v>
      </c>
      <c r="F36" s="11">
        <v>3900</v>
      </c>
      <c r="I36" s="9" t="s">
        <v>67</v>
      </c>
      <c r="J36" s="3">
        <v>445291.76179999998</v>
      </c>
    </row>
    <row r="37" spans="1:10" x14ac:dyDescent="0.25">
      <c r="I37" s="9" t="s">
        <v>52</v>
      </c>
      <c r="J37" s="3">
        <v>5180929.4188999999</v>
      </c>
    </row>
    <row r="38" spans="1:10" x14ac:dyDescent="0.25">
      <c r="I38" s="9"/>
      <c r="J38" s="3"/>
    </row>
    <row r="39" spans="1:10" x14ac:dyDescent="0.25">
      <c r="A39" s="2" t="s">
        <v>68</v>
      </c>
      <c r="E39" s="2" t="s">
        <v>69</v>
      </c>
      <c r="I39" s="2" t="s">
        <v>70</v>
      </c>
    </row>
    <row r="40" spans="1:10" x14ac:dyDescent="0.25">
      <c r="A40" s="13" t="s">
        <v>19</v>
      </c>
      <c r="B40" s="3" t="s">
        <v>20</v>
      </c>
      <c r="E40" s="13" t="s">
        <v>19</v>
      </c>
      <c r="F40" s="3" t="s">
        <v>71</v>
      </c>
      <c r="I40" s="13" t="s">
        <v>19</v>
      </c>
      <c r="J40" s="3" t="s">
        <v>20</v>
      </c>
    </row>
    <row r="41" spans="1:10" x14ac:dyDescent="0.25">
      <c r="A41" s="9" t="s">
        <v>72</v>
      </c>
      <c r="B41" s="3">
        <v>1887582.5038999999</v>
      </c>
      <c r="E41" s="9" t="s">
        <v>73</v>
      </c>
      <c r="F41" s="12">
        <v>0.15523494255028059</v>
      </c>
      <c r="I41" s="9" t="s">
        <v>74</v>
      </c>
      <c r="J41" s="3">
        <v>1281805.6862000001</v>
      </c>
    </row>
    <row r="42" spans="1:10" x14ac:dyDescent="0.25">
      <c r="A42" s="9" t="s">
        <v>75</v>
      </c>
      <c r="B42" s="3">
        <v>207918.9327</v>
      </c>
      <c r="E42" s="9" t="s">
        <v>76</v>
      </c>
      <c r="F42" s="12">
        <v>0.16533516375945315</v>
      </c>
      <c r="I42" s="9" t="s">
        <v>77</v>
      </c>
      <c r="J42" s="3">
        <v>1304951.6719</v>
      </c>
    </row>
    <row r="43" spans="1:10" x14ac:dyDescent="0.25">
      <c r="A43" s="9" t="s">
        <v>78</v>
      </c>
      <c r="B43" s="3">
        <v>671.79579999999999</v>
      </c>
      <c r="E43" s="9" t="s">
        <v>79</v>
      </c>
      <c r="F43" s="12">
        <v>0.18276606827449171</v>
      </c>
      <c r="I43" s="9" t="s">
        <v>80</v>
      </c>
      <c r="J43" s="3">
        <v>1341582.0608999999</v>
      </c>
    </row>
    <row r="44" spans="1:10" x14ac:dyDescent="0.25">
      <c r="A44" s="9" t="s">
        <v>81</v>
      </c>
      <c r="B44" s="3">
        <v>563105.51240000001</v>
      </c>
      <c r="E44" s="9" t="s">
        <v>82</v>
      </c>
      <c r="F44" s="12">
        <v>0.15531422809285167</v>
      </c>
      <c r="I44" s="9" t="s">
        <v>83</v>
      </c>
      <c r="J44" s="3">
        <v>1252589.9998999999</v>
      </c>
    </row>
    <row r="45" spans="1:10" x14ac:dyDescent="0.25">
      <c r="A45" s="9" t="s">
        <v>84</v>
      </c>
      <c r="B45" s="3">
        <v>500540.77490000002</v>
      </c>
      <c r="E45" s="9" t="s">
        <v>85</v>
      </c>
      <c r="F45" s="12">
        <v>0.17610793165248692</v>
      </c>
      <c r="I45" s="9" t="s">
        <v>52</v>
      </c>
      <c r="J45" s="3">
        <v>5180929.4188999999</v>
      </c>
    </row>
    <row r="46" spans="1:10" x14ac:dyDescent="0.25">
      <c r="A46" s="9" t="s">
        <v>86</v>
      </c>
      <c r="B46" s="3">
        <v>247.97309999999999</v>
      </c>
      <c r="E46" s="9" t="s">
        <v>87</v>
      </c>
      <c r="F46" s="12">
        <v>0.16524166567043597</v>
      </c>
    </row>
    <row r="47" spans="1:10" x14ac:dyDescent="0.25">
      <c r="A47" s="9" t="s">
        <v>88</v>
      </c>
      <c r="B47" s="3">
        <v>555938.04130000004</v>
      </c>
      <c r="E47" s="9" t="s">
        <v>52</v>
      </c>
      <c r="F47" s="12">
        <v>1</v>
      </c>
    </row>
    <row r="48" spans="1:10" x14ac:dyDescent="0.25">
      <c r="A48" s="9" t="s">
        <v>89</v>
      </c>
      <c r="B48" s="3">
        <v>5343.1061</v>
      </c>
      <c r="D48" s="3"/>
    </row>
    <row r="49" spans="1:4" x14ac:dyDescent="0.25">
      <c r="A49" s="9" t="s">
        <v>90</v>
      </c>
      <c r="B49" s="3">
        <v>849670.21380000003</v>
      </c>
    </row>
    <row r="50" spans="1:4" x14ac:dyDescent="0.25">
      <c r="A50" s="9" t="s">
        <v>91</v>
      </c>
      <c r="B50" s="3">
        <v>609910.5649</v>
      </c>
    </row>
    <row r="51" spans="1:4" x14ac:dyDescent="0.25">
      <c r="A51" s="9" t="s">
        <v>52</v>
      </c>
      <c r="B51" s="3">
        <v>5180929.4188999999</v>
      </c>
    </row>
    <row r="53" spans="1:4" x14ac:dyDescent="0.25">
      <c r="A53" t="str">
        <f>A40</f>
        <v>Row Labels</v>
      </c>
      <c r="B53" t="str">
        <f>B40</f>
        <v>Sum of Revenue</v>
      </c>
      <c r="D53" s="3"/>
    </row>
    <row r="54" spans="1:4" x14ac:dyDescent="0.25">
      <c r="A54" t="str">
        <f t="shared" ref="A54:B64" si="0">A41</f>
        <v>Australia</v>
      </c>
      <c r="B54" s="3">
        <f t="shared" si="0"/>
        <v>1887582.5038999999</v>
      </c>
    </row>
    <row r="55" spans="1:4" x14ac:dyDescent="0.25">
      <c r="A55" t="str">
        <f t="shared" si="0"/>
        <v>Canada</v>
      </c>
      <c r="B55" s="3">
        <f t="shared" si="0"/>
        <v>207918.9327</v>
      </c>
    </row>
    <row r="56" spans="1:4" x14ac:dyDescent="0.25">
      <c r="A56" t="str">
        <f t="shared" si="0"/>
        <v>Central</v>
      </c>
      <c r="B56" s="3">
        <f t="shared" si="0"/>
        <v>671.79579999999999</v>
      </c>
    </row>
    <row r="57" spans="1:4" x14ac:dyDescent="0.25">
      <c r="A57" t="str">
        <f t="shared" si="0"/>
        <v>France</v>
      </c>
      <c r="B57" s="3">
        <f t="shared" si="0"/>
        <v>563105.51240000001</v>
      </c>
    </row>
    <row r="58" spans="1:4" x14ac:dyDescent="0.25">
      <c r="A58" t="str">
        <f t="shared" si="0"/>
        <v>Germany</v>
      </c>
      <c r="B58" s="3">
        <f t="shared" si="0"/>
        <v>500540.77490000002</v>
      </c>
      <c r="D58" s="3"/>
    </row>
    <row r="59" spans="1:4" x14ac:dyDescent="0.25">
      <c r="A59" t="str">
        <f t="shared" si="0"/>
        <v>Northeast</v>
      </c>
      <c r="B59" s="3">
        <f t="shared" si="0"/>
        <v>247.97309999999999</v>
      </c>
    </row>
    <row r="60" spans="1:4" x14ac:dyDescent="0.25">
      <c r="A60" t="str">
        <f t="shared" si="0"/>
        <v>Northwest</v>
      </c>
      <c r="B60" s="3">
        <f t="shared" si="0"/>
        <v>555938.04130000004</v>
      </c>
    </row>
    <row r="61" spans="1:4" x14ac:dyDescent="0.25">
      <c r="A61" t="str">
        <f t="shared" si="0"/>
        <v>Southeast</v>
      </c>
      <c r="B61" s="3">
        <f t="shared" si="0"/>
        <v>5343.1061</v>
      </c>
    </row>
    <row r="62" spans="1:4" x14ac:dyDescent="0.25">
      <c r="A62" t="str">
        <f t="shared" si="0"/>
        <v>Southwest</v>
      </c>
      <c r="B62" s="3">
        <f t="shared" si="0"/>
        <v>849670.21380000003</v>
      </c>
    </row>
    <row r="63" spans="1:4" x14ac:dyDescent="0.25">
      <c r="A63" t="str">
        <f t="shared" si="0"/>
        <v>United Kingdom</v>
      </c>
      <c r="B63" s="3">
        <f t="shared" si="0"/>
        <v>609910.5649</v>
      </c>
    </row>
    <row r="64" spans="1:4" x14ac:dyDescent="0.25">
      <c r="A64" t="str">
        <f t="shared" si="0"/>
        <v>Grand Total</v>
      </c>
      <c r="B64" s="3">
        <f t="shared" si="0"/>
        <v>5180929.4188999999</v>
      </c>
    </row>
    <row r="65" spans="4:4" x14ac:dyDescent="0.25">
      <c r="D65" s="3"/>
    </row>
  </sheetData>
  <hyperlinks>
    <hyperlink ref="D8" location="Dashboard!A1" display="Go to Dashoard" xr:uid="{14BD0061-3036-46BB-948B-A69C03A3BA52}"/>
    <hyperlink ref="B11" location="'Sales Dashboard'!A1" display="Dashboard" xr:uid="{F27DFB42-B3B8-4357-B077-74CEDF087063}"/>
    <hyperlink ref="D11" location="'Sales Dashboard'!A1" display="Report" xr:uid="{1DA1C95A-AC48-4B52-96ED-16A63F131D8F}"/>
  </hyperlinks>
  <pageMargins left="0.7" right="0.7" top="0.75" bottom="0.75" header="0.3" footer="0.3"/>
  <drawing r:id="rId15"/>
  <extLs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Dumoteyim Abiye-Suku</dc:creator>
  <cp:lastModifiedBy>Dumoteyim Abiye-Suku</cp:lastModifiedBy>
  <dcterms:created xsi:type="dcterms:W3CDTF">2026-06-30T12:56:07Z</dcterms:created>
  <dcterms:modified xsi:type="dcterms:W3CDTF">2026-06-30T12:58:12Z</dcterms:modified>
</cp:coreProperties>
</file>